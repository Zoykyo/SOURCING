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 Tu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2F5597"/>
      </patternFill>
    </fill>
    <fill>
      <patternFill patternType="solid">
        <fgColor rgb="001F6E5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5" fillId="0" borderId="0" pivotButton="0" quotePrefix="0" xfId="0"/>
    <xf numFmtId="2" fontId="5" fillId="4" borderId="1" pivotButton="0" quotePrefix="0" xfId="0"/>
    <xf numFmtId="0" fontId="4" fillId="0" borderId="0" pivotButton="0" quotePrefix="0" xfId="0"/>
    <xf numFmtId="2" fontId="4" fillId="5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5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4" fillId="5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3" fillId="6" borderId="0" pivotButton="0" quotePrefix="0" xfId="0"/>
    <xf numFmtId="0" fontId="0" fillId="6" borderId="0" pivotButton="0" quotePrefix="0" xfId="0"/>
    <xf numFmtId="0" fontId="3" fillId="7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0" fillId="8" borderId="0" pivotButton="0" quotePrefix="0" xfId="0"/>
    <xf numFmtId="0" fontId="3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6" customWidth="1" min="3" max="3"/>
    <col width="13" customWidth="1" min="4" max="4"/>
    <col width="10" customWidth="1" min="5" max="5"/>
    <col width="40" customWidth="1" min="6" max="6"/>
  </cols>
  <sheetData>
    <row r="1">
      <c r="A1" s="1" t="inlineStr">
        <is>
          <t>SOURCING — Scoring Model Tuning Sheet</t>
        </is>
      </c>
    </row>
    <row r="2">
      <c r="A2" s="2" t="inlineStr">
        <is>
          <t>Edit the YELLOW cells only. Category weights (top) must sum to 1.00. Each category's sub-weights must sum to 1.00. Grey cells auto-calculate.</t>
        </is>
      </c>
    </row>
    <row r="3">
      <c r="A3" s="2" t="inlineStr">
        <is>
          <t>'Effective pts' = category weight × sub-weight × 100 (the criterion's real share of the /100 score). ✅ = scored now from CV · ⏳ = awaits LinkedIn/Zoho data.</t>
        </is>
      </c>
    </row>
    <row r="5">
      <c r="A5" s="3" t="inlineStr">
        <is>
          <t>CATEGORY WEIGHTS</t>
        </is>
      </c>
      <c r="B5" s="4" t="n"/>
      <c r="C5" s="4" t="n"/>
      <c r="D5" s="4" t="n"/>
    </row>
    <row r="6">
      <c r="A6" s="5" t="inlineStr">
        <is>
          <t>Category</t>
        </is>
      </c>
      <c r="B6" s="5" t="inlineStr">
        <is>
          <t>Weight (edit)</t>
        </is>
      </c>
      <c r="C6" s="5" t="inlineStr">
        <is>
          <t>Check</t>
        </is>
      </c>
    </row>
    <row r="7">
      <c r="A7" s="6" t="inlineStr">
        <is>
          <t>1. Professional Profile &amp; Career Trajectory</t>
        </is>
      </c>
      <c r="B7" s="7" t="n">
        <v>0.22</v>
      </c>
    </row>
    <row r="8">
      <c r="A8" s="6" t="inlineStr">
        <is>
          <t>2. Skills, Expertise &amp; Qualifications</t>
        </is>
      </c>
      <c r="B8" s="7" t="n">
        <v>0.3</v>
      </c>
    </row>
    <row r="9">
      <c r="A9" s="6" t="inlineStr">
        <is>
          <t>3. Credibility, Reputation &amp; Distinction</t>
        </is>
      </c>
      <c r="B9" s="7" t="n">
        <v>0.13</v>
      </c>
    </row>
    <row r="10">
      <c r="A10" s="6" t="inlineStr">
        <is>
          <t>4. Availability &amp; Retention Potential</t>
        </is>
      </c>
      <c r="B10" s="7" t="n">
        <v>0.2</v>
      </c>
    </row>
    <row r="11">
      <c r="A11" s="6" t="inlineStr">
        <is>
          <t>5. Mobility</t>
        </is>
      </c>
      <c r="B11" s="7" t="n">
        <v>0.15</v>
      </c>
    </row>
    <row r="12">
      <c r="A12" s="8" t="inlineStr">
        <is>
          <t>TOTAL</t>
        </is>
      </c>
      <c r="B12" s="9">
        <f>SUM(B7:B11)</f>
        <v/>
      </c>
      <c r="C12" s="8">
        <f>IF(ABS(B12-1)&lt;0.001,"✓ OK","✗ must = 1.00")</f>
        <v/>
      </c>
    </row>
    <row r="15">
      <c r="A15" s="3" t="inlineStr">
        <is>
          <t>SUB-CRITERIA WEIGHTS</t>
        </is>
      </c>
      <c r="B15" s="4" t="n"/>
      <c r="C15" s="4" t="n"/>
      <c r="D15" s="4" t="n"/>
      <c r="E15" s="4" t="n"/>
      <c r="F15" s="4" t="n"/>
    </row>
    <row r="16">
      <c r="A16" s="10" t="inlineStr">
        <is>
          <t>#</t>
        </is>
      </c>
      <c r="B16" s="10" t="inlineStr">
        <is>
          <t>Sub-criterion</t>
        </is>
      </c>
      <c r="C16" s="10" t="inlineStr">
        <is>
          <t>Sub-weight (edit)</t>
        </is>
      </c>
      <c r="D16" s="10" t="inlineStr">
        <is>
          <t>Effective pts</t>
        </is>
      </c>
      <c r="E16" s="10" t="inlineStr">
        <is>
          <t>Now?</t>
        </is>
      </c>
      <c r="F16" s="10" t="inlineStr">
        <is>
          <t>Data needed (for ⏳)</t>
        </is>
      </c>
    </row>
    <row r="17">
      <c r="A17" s="3" t="inlineStr">
        <is>
          <t>1</t>
        </is>
      </c>
      <c r="B17" s="3" t="inlineStr">
        <is>
          <t>1. Professional Profile &amp; Career Trajectory   (category weight in B7)</t>
        </is>
      </c>
      <c r="C17" s="4" t="n"/>
      <c r="D17" s="4" t="n"/>
      <c r="E17" s="4" t="n"/>
      <c r="F17" s="4" t="n"/>
    </row>
    <row r="18">
      <c r="A18" s="6" t="n">
        <v>1</v>
      </c>
      <c r="B18" s="11" t="inlineStr">
        <is>
          <t>Employers – Key OEM: list &amp; relevance of companies worked at</t>
        </is>
      </c>
      <c r="C18" s="7" t="n">
        <v>0.3</v>
      </c>
      <c r="D18" s="12">
        <f>$B$7*C18*100</f>
        <v/>
      </c>
      <c r="E18" s="13" t="inlineStr">
        <is>
          <t>✅ now</t>
        </is>
      </c>
      <c r="F18" s="14" t="inlineStr"/>
    </row>
    <row r="19">
      <c r="A19" s="6" t="n">
        <v>2</v>
      </c>
      <c r="B19" s="11" t="inlineStr">
        <is>
          <t>Relevant roles &amp; experiences; current title vs. what we're proposing</t>
        </is>
      </c>
      <c r="C19" s="7" t="n">
        <v>0.25</v>
      </c>
      <c r="D19" s="12">
        <f>$B$7*C19*100</f>
        <v/>
      </c>
      <c r="E19" s="13" t="inlineStr">
        <is>
          <t>✅ now</t>
        </is>
      </c>
      <c r="F19" s="14" t="inlineStr"/>
    </row>
    <row r="20">
      <c r="A20" s="6" t="n">
        <v>3</v>
      </c>
      <c r="B20" s="11" t="inlineStr">
        <is>
          <t>Seniority level vs. what's being sought</t>
        </is>
      </c>
      <c r="C20" s="7" t="n">
        <v>0.2</v>
      </c>
      <c r="D20" s="12">
        <f>$B$7*C20*100</f>
        <v/>
      </c>
      <c r="E20" s="13" t="inlineStr">
        <is>
          <t>✅ now</t>
        </is>
      </c>
      <c r="F20" s="14" t="inlineStr"/>
    </row>
    <row r="21">
      <c r="A21" s="6" t="n">
        <v>4</v>
      </c>
      <c r="B21" s="11" t="inlineStr">
        <is>
          <t>Career progression analysis (lateral, hierarchical, interests) vs. what we can offer</t>
        </is>
      </c>
      <c r="C21" s="7" t="n">
        <v>0.15</v>
      </c>
      <c r="D21" s="12">
        <f>$B$7*C21*100</f>
        <v/>
      </c>
      <c r="E21" s="13" t="inlineStr">
        <is>
          <t>⏳ later</t>
        </is>
      </c>
      <c r="F21" s="14" t="inlineStr">
        <is>
          <t>structured work-history timeline (LinkedIn / Zoho)</t>
        </is>
      </c>
    </row>
    <row r="22">
      <c r="A22" s="6" t="n">
        <v>5</v>
      </c>
      <c r="B22" s="11" t="inlineStr">
        <is>
          <t>Sub-domain match</t>
        </is>
      </c>
      <c r="C22" s="7" t="n">
        <v>0.1</v>
      </c>
      <c r="D22" s="12">
        <f>$B$7*C22*100</f>
        <v/>
      </c>
      <c r="E22" s="13" t="inlineStr">
        <is>
          <t>⏳ later</t>
        </is>
      </c>
      <c r="F22" s="14" t="inlineStr">
        <is>
          <t>domain/sub-domain taxonomy + enrichment</t>
        </is>
      </c>
    </row>
    <row r="23">
      <c r="B23" s="8" t="inlineStr">
        <is>
          <t>Sub-weights total</t>
        </is>
      </c>
      <c r="C23" s="9">
        <f>SUM(C18:C22)</f>
        <v/>
      </c>
      <c r="D23" s="15">
        <f>SUM(D18:D22)</f>
        <v/>
      </c>
      <c r="E23" s="16">
        <f>IF(ABS(C23-1)&lt;0.001,"✓","✗ fix=1.00")</f>
        <v/>
      </c>
    </row>
    <row r="25">
      <c r="A25" s="17" t="inlineStr">
        <is>
          <t>2</t>
        </is>
      </c>
      <c r="B25" s="17" t="inlineStr">
        <is>
          <t>2. Skills, Expertise &amp; Qualifications   (category weight in B8)</t>
        </is>
      </c>
      <c r="C25" s="18" t="n"/>
      <c r="D25" s="18" t="n"/>
      <c r="E25" s="18" t="n"/>
      <c r="F25" s="18" t="n"/>
    </row>
    <row r="26">
      <c r="A26" s="6" t="n">
        <v>1</v>
      </c>
      <c r="B26" s="11" t="inlineStr">
        <is>
          <t>Key competencies and skills (must-have vs. nice-to-have)</t>
        </is>
      </c>
      <c r="C26" s="7" t="n">
        <v>0.4</v>
      </c>
      <c r="D26" s="12">
        <f>$B$8*C26*100</f>
        <v/>
      </c>
      <c r="E26" s="13" t="inlineStr">
        <is>
          <t>✅ now</t>
        </is>
      </c>
      <c r="F26" s="14" t="inlineStr"/>
    </row>
    <row r="27">
      <c r="A27" s="6" t="n">
        <v>2</v>
      </c>
      <c r="B27" s="11" t="inlineStr">
        <is>
          <t>Key knowledge and standards (SAE, ISO, AS9100…)</t>
        </is>
      </c>
      <c r="C27" s="7" t="n">
        <v>0.2</v>
      </c>
      <c r="D27" s="12">
        <f>$B$8*C27*100</f>
        <v/>
      </c>
      <c r="E27" s="13" t="inlineStr">
        <is>
          <t>✅ now</t>
        </is>
      </c>
      <c r="F27" s="14" t="inlineStr"/>
    </row>
    <row r="28">
      <c r="A28" s="6" t="n">
        <v>3</v>
      </c>
      <c r="B28" s="11" t="inlineStr">
        <is>
          <t>Education, continuing education (courses)</t>
        </is>
      </c>
      <c r="C28" s="7" t="n">
        <v>0.15</v>
      </c>
      <c r="D28" s="12">
        <f>$B$8*C28*100</f>
        <v/>
      </c>
      <c r="E28" s="13" t="inlineStr">
        <is>
          <t>✅ now</t>
        </is>
      </c>
      <c r="F28" s="14" t="inlineStr"/>
    </row>
    <row r="29">
      <c r="A29" s="6" t="n">
        <v>4</v>
      </c>
      <c r="B29" s="11" t="inlineStr">
        <is>
          <t>Language proficiency analysis</t>
        </is>
      </c>
      <c r="C29" s="7" t="n">
        <v>0.15</v>
      </c>
      <c r="D29" s="12">
        <f>$B$8*C29*100</f>
        <v/>
      </c>
      <c r="E29" s="13" t="inlineStr">
        <is>
          <t>✅ now</t>
        </is>
      </c>
      <c r="F29" s="14" t="inlineStr"/>
    </row>
    <row r="30">
      <c r="A30" s="6" t="n">
        <v>5</v>
      </c>
      <c r="B30" s="11" t="inlineStr">
        <is>
          <t>Professional associations, certifications and credentials</t>
        </is>
      </c>
      <c r="C30" s="7" t="n">
        <v>0.1</v>
      </c>
      <c r="D30" s="12">
        <f>$B$8*C30*100</f>
        <v/>
      </c>
      <c r="E30" s="13" t="inlineStr">
        <is>
          <t>✅ now</t>
        </is>
      </c>
      <c r="F30" s="14" t="inlineStr"/>
    </row>
    <row r="31">
      <c r="B31" s="8" t="inlineStr">
        <is>
          <t>Sub-weights total</t>
        </is>
      </c>
      <c r="C31" s="9">
        <f>SUM(C26:C30)</f>
        <v/>
      </c>
      <c r="D31" s="15">
        <f>SUM(D26:D30)</f>
        <v/>
      </c>
      <c r="E31" s="16">
        <f>IF(ABS(C31-1)&lt;0.001,"✓","✗ fix=1.00")</f>
        <v/>
      </c>
    </row>
    <row r="33">
      <c r="A33" s="19" t="inlineStr">
        <is>
          <t>3</t>
        </is>
      </c>
      <c r="B33" s="19" t="inlineStr">
        <is>
          <t>3. Credibility, Reputation &amp; Distinction   (category weight in B9)</t>
        </is>
      </c>
      <c r="C33" s="20" t="n"/>
      <c r="D33" s="20" t="n"/>
      <c r="E33" s="20" t="n"/>
      <c r="F33" s="20" t="n"/>
    </row>
    <row r="34">
      <c r="A34" s="6" t="n">
        <v>1</v>
      </c>
      <c r="B34" s="11" t="inlineStr">
        <is>
          <t>Awards, distinctions, scholarships, honors, recognitions, alumni</t>
        </is>
      </c>
      <c r="C34" s="7" t="n">
        <v>0.3</v>
      </c>
      <c r="D34" s="12">
        <f>$B$9*C34*100</f>
        <v/>
      </c>
      <c r="E34" s="13" t="inlineStr">
        <is>
          <t>✅ now</t>
        </is>
      </c>
      <c r="F34" s="14" t="inlineStr"/>
    </row>
    <row r="35">
      <c r="A35" s="6" t="n">
        <v>2</v>
      </c>
      <c r="B35" s="11" t="inlineStr">
        <is>
          <t>References, feedback</t>
        </is>
      </c>
      <c r="C35" s="7" t="n">
        <v>0.2</v>
      </c>
      <c r="D35" s="12">
        <f>$B$9*C35*100</f>
        <v/>
      </c>
      <c r="E35" s="13" t="inlineStr">
        <is>
          <t>⏳ later</t>
        </is>
      </c>
      <c r="F35" s="14" t="inlineStr">
        <is>
          <t>reference checks / recruiter feedback input</t>
        </is>
      </c>
    </row>
    <row r="36">
      <c r="A36" s="6" t="n">
        <v>3</v>
      </c>
      <c r="B36" s="11" t="inlineStr">
        <is>
          <t>Demonstrated expertise or domain authority: speaker, panel, trainer, committees</t>
        </is>
      </c>
      <c r="C36" s="7" t="n">
        <v>0.2</v>
      </c>
      <c r="D36" s="12">
        <f>$B$9*C36*100</f>
        <v/>
      </c>
      <c r="E36" s="13" t="inlineStr">
        <is>
          <t>✅ now</t>
        </is>
      </c>
      <c r="F36" s="14" t="inlineStr"/>
    </row>
    <row r="37">
      <c r="A37" s="6" t="n">
        <v>4</v>
      </c>
      <c r="B37" s="11" t="inlineStr">
        <is>
          <t>Competition: student club</t>
        </is>
      </c>
      <c r="C37" s="7" t="n">
        <v>0.1</v>
      </c>
      <c r="D37" s="12">
        <f>$B$9*C37*100</f>
        <v/>
      </c>
      <c r="E37" s="13" t="inlineStr">
        <is>
          <t>✅ now</t>
        </is>
      </c>
      <c r="F37" s="14" t="inlineStr"/>
    </row>
    <row r="38">
      <c r="A38" s="6" t="n">
        <v>5</v>
      </c>
      <c r="B38" s="11" t="inlineStr">
        <is>
          <t>Publications and patents</t>
        </is>
      </c>
      <c r="C38" s="7" t="n">
        <v>0.2</v>
      </c>
      <c r="D38" s="12">
        <f>$B$9*C38*100</f>
        <v/>
      </c>
      <c r="E38" s="13" t="inlineStr">
        <is>
          <t>✅ now</t>
        </is>
      </c>
      <c r="F38" s="14" t="inlineStr"/>
    </row>
    <row r="39">
      <c r="B39" s="8" t="inlineStr">
        <is>
          <t>Sub-weights total</t>
        </is>
      </c>
      <c r="C39" s="9">
        <f>SUM(C34:C38)</f>
        <v/>
      </c>
      <c r="D39" s="15">
        <f>SUM(D34:D38)</f>
        <v/>
      </c>
      <c r="E39" s="16">
        <f>IF(ABS(C39-1)&lt;0.001,"✓","✗ fix=1.00")</f>
        <v/>
      </c>
    </row>
    <row r="41">
      <c r="A41" s="21" t="inlineStr">
        <is>
          <t>4</t>
        </is>
      </c>
      <c r="B41" s="21" t="inlineStr">
        <is>
          <t>4. Availability &amp; Retention Potential   (category weight in B10)</t>
        </is>
      </c>
      <c r="C41" s="22" t="n"/>
      <c r="D41" s="22" t="n"/>
      <c r="E41" s="22" t="n"/>
      <c r="F41" s="22" t="n"/>
    </row>
    <row r="42">
      <c r="A42" s="6" t="n">
        <v>1</v>
      </c>
      <c r="B42" s="11" t="inlineStr">
        <is>
          <t>Interest in Kollabtek, clients &amp; sector companies (subscribed, connected, applied before)</t>
        </is>
      </c>
      <c r="C42" s="7" t="n">
        <v>0.2</v>
      </c>
      <c r="D42" s="12">
        <f>$B$10*C42*100</f>
        <v/>
      </c>
      <c r="E42" s="13" t="inlineStr">
        <is>
          <t>⏳ later</t>
        </is>
      </c>
      <c r="F42" s="14" t="inlineStr">
        <is>
          <t>engagement data (LinkedIn follows/applies, Zoho history)</t>
        </is>
      </c>
    </row>
    <row r="43">
      <c r="A43" s="6" t="n">
        <v>2</v>
      </c>
      <c r="B43" s="11" t="inlineStr">
        <is>
          <t>Open to work or probability of being open to work</t>
        </is>
      </c>
      <c r="C43" s="7" t="n">
        <v>0.3</v>
      </c>
      <c r="D43" s="12">
        <f>$B$10*C43*100</f>
        <v/>
      </c>
      <c r="E43" s="13" t="inlineStr">
        <is>
          <t>✅ now</t>
        </is>
      </c>
      <c r="F43" s="14" t="inlineStr"/>
    </row>
    <row r="44">
      <c r="A44" s="6" t="n">
        <v>3</v>
      </c>
      <c r="B44" s="11" t="inlineStr">
        <is>
          <t>Contact analysis (recruiter, Kollabtek team)</t>
        </is>
      </c>
      <c r="C44" s="7" t="n">
        <v>0.1</v>
      </c>
      <c r="D44" s="12">
        <f>$B$10*C44*100</f>
        <v/>
      </c>
      <c r="E44" s="13" t="inlineStr">
        <is>
          <t>⏳ later</t>
        </is>
      </c>
      <c r="F44" s="14" t="inlineStr">
        <is>
          <t>existing relationship / contact-owner data (Zoho)</t>
        </is>
      </c>
    </row>
    <row r="45">
      <c r="A45" s="6" t="n">
        <v>4</v>
      </c>
      <c r="B45" s="11" t="inlineStr">
        <is>
          <t>Probabilities to stay at Kollabtek</t>
        </is>
      </c>
      <c r="C45" s="7" t="n">
        <v>0.15</v>
      </c>
      <c r="D45" s="12">
        <f>$B$10*C45*100</f>
        <v/>
      </c>
      <c r="E45" s="13" t="inlineStr">
        <is>
          <t>⏳ later</t>
        </is>
      </c>
      <c r="F45" s="14" t="inlineStr">
        <is>
          <t>retention model on past placements</t>
        </is>
      </c>
    </row>
    <row r="46">
      <c r="A46" s="6" t="n">
        <v>5</v>
      </c>
      <c r="B46" s="11" t="inlineStr">
        <is>
          <t>Tenure windows (current and avg. past)</t>
        </is>
      </c>
      <c r="C46" s="7" t="n">
        <v>0.25</v>
      </c>
      <c r="D46" s="12">
        <f>$B$10*C46*100</f>
        <v/>
      </c>
      <c r="E46" s="13" t="inlineStr">
        <is>
          <t>✅ now</t>
        </is>
      </c>
      <c r="F46" s="14" t="inlineStr"/>
    </row>
    <row r="47">
      <c r="B47" s="8" t="inlineStr">
        <is>
          <t>Sub-weights total</t>
        </is>
      </c>
      <c r="C47" s="9">
        <f>SUM(C42:C46)</f>
        <v/>
      </c>
      <c r="D47" s="15">
        <f>SUM(D42:D46)</f>
        <v/>
      </c>
      <c r="E47" s="16">
        <f>IF(ABS(C47-1)&lt;0.001,"✓","✗ fix=1.00")</f>
        <v/>
      </c>
    </row>
    <row r="49">
      <c r="A49" s="23" t="inlineStr">
        <is>
          <t>5</t>
        </is>
      </c>
      <c r="B49" s="23" t="inlineStr">
        <is>
          <t>5. Mobility   (category weight in B11)</t>
        </is>
      </c>
      <c r="C49" s="24" t="n"/>
      <c r="D49" s="24" t="n"/>
      <c r="E49" s="24" t="n"/>
      <c r="F49" s="24" t="n"/>
    </row>
    <row r="50">
      <c r="A50" s="6" t="n">
        <v>1</v>
      </c>
      <c r="B50" s="11" t="inlineStr">
        <is>
          <t>Interest in relocation</t>
        </is>
      </c>
      <c r="C50" s="7" t="n">
        <v>0.2</v>
      </c>
      <c r="D50" s="12">
        <f>$B$11*C50*100</f>
        <v/>
      </c>
      <c r="E50" s="13" t="inlineStr">
        <is>
          <t>✅ now</t>
        </is>
      </c>
      <c r="F50" s="14" t="inlineStr"/>
    </row>
    <row r="51">
      <c r="A51" s="6" t="n">
        <v>2</v>
      </c>
      <c r="B51" s="11" t="inlineStr">
        <is>
          <t>Willingness to travel</t>
        </is>
      </c>
      <c r="C51" s="7" t="n">
        <v>0.15</v>
      </c>
      <c r="D51" s="12">
        <f>$B$11*C51*100</f>
        <v/>
      </c>
      <c r="E51" s="13" t="inlineStr">
        <is>
          <t>✅ now</t>
        </is>
      </c>
      <c r="F51" s="14" t="inlineStr"/>
    </row>
    <row r="52">
      <c r="A52" s="6" t="n">
        <v>3</v>
      </c>
      <c r="B52" s="11" t="inlineStr">
        <is>
          <t>Location: proximity to current role</t>
        </is>
      </c>
      <c r="C52" s="7" t="n">
        <v>0.3</v>
      </c>
      <c r="D52" s="12">
        <f>$B$11*C52*100</f>
        <v/>
      </c>
      <c r="E52" s="13" t="inlineStr">
        <is>
          <t>✅ now</t>
        </is>
      </c>
      <c r="F52" s="14" t="inlineStr"/>
    </row>
    <row r="53">
      <c r="A53" s="6" t="n">
        <v>4</v>
      </c>
      <c r="B53" s="11" t="inlineStr">
        <is>
          <t>Region – past and current studies and work</t>
        </is>
      </c>
      <c r="C53" s="7" t="n">
        <v>0.15</v>
      </c>
      <c r="D53" s="12">
        <f>$B$11*C53*100</f>
        <v/>
      </c>
      <c r="E53" s="13" t="inlineStr">
        <is>
          <t>⏳ later</t>
        </is>
      </c>
      <c r="F53" s="14" t="inlineStr">
        <is>
          <t>structured study/work region history (LinkedIn / enrichment)</t>
        </is>
      </c>
    </row>
    <row r="54">
      <c r="A54" s="6" t="n">
        <v>5</v>
      </c>
      <c r="B54" s="11" t="inlineStr">
        <is>
          <t>Work mode: on-site, hybrid, remote</t>
        </is>
      </c>
      <c r="C54" s="7" t="n">
        <v>0.2</v>
      </c>
      <c r="D54" s="12">
        <f>$B$11*C54*100</f>
        <v/>
      </c>
      <c r="E54" s="13" t="inlineStr">
        <is>
          <t>✅ now</t>
        </is>
      </c>
      <c r="F54" s="14" t="inlineStr"/>
    </row>
    <row r="55">
      <c r="B55" s="8" t="inlineStr">
        <is>
          <t>Sub-weights total</t>
        </is>
      </c>
      <c r="C55" s="9">
        <f>SUM(C50:C54)</f>
        <v/>
      </c>
      <c r="D55" s="15">
        <f>SUM(D50:D54)</f>
        <v/>
      </c>
      <c r="E55" s="16">
        <f>IF(ABS(C55-1)&lt;0.001,"✓","✗ fix=1.00")</f>
        <v/>
      </c>
    </row>
    <row r="57">
      <c r="B57" s="8" t="inlineStr">
        <is>
          <t>GRAND TOTAL — effective pts</t>
        </is>
      </c>
      <c r="D57" s="15">
        <f>D23+D31+D39+D47+D55</f>
        <v/>
      </c>
      <c r="E57" s="16">
        <f>IF(ABS(D57-100)&lt;0.1,"✓ =100","✗ check")</f>
        <v/>
      </c>
    </row>
  </sheetData>
  <conditionalFormatting sqref="C12">
    <cfRule type="expression" priority="1" dxfId="0">
      <formula>ISNUMBER(SEARCH("✗",C12))</formula>
    </cfRule>
    <cfRule type="expression" priority="2" dxfId="1">
      <formula>ISNUMBER(SEARCH("✓",C12))</formula>
    </cfRule>
  </conditionalFormatting>
  <conditionalFormatting sqref="E17:E57">
    <cfRule type="expression" priority="3" dxfId="0">
      <formula>ISNUMBER(SEARCH("✗",E17))</formula>
    </cfRule>
    <cfRule type="expression" priority="4" dxfId="1">
      <formula>ISNUMBER(SEARCH("✓",E17))</formula>
    </cfRule>
  </conditionalFormatting>
  <dataValidations count="1">
    <dataValidation sqref="B7 B8 B9 B10 B11 C18 C19 C20 C21 C22 C26 C27 C28 C29 C30 C34 C35 C36 C37 C38 C42 C43 C44 C45 C46 C50 C51 C52 C53 C54" showDropDown="0" showInputMessage="0" showErrorMessage="0" allowBlank="0" errorTitle="Invalid weight" error="Weights must be between 0 and 1." type="decimal" operator="between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2026-06-08T20:10:08Z</dcterms:created>
  <dcterms:modified xmlns:dcterms="http://purl.org/dc/terms/" xmlns:xsi="http://www.w3.org/2001/XMLSchema-instance" xsi:type="dcterms:W3CDTF">2026-06-08T20:10:08Z</dcterms:modified>
</cp:coreProperties>
</file>